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2\Desktop\Werk\Técnico\6 Ano 1 Semestre\Liliana_Pablo\Illustration\"/>
    </mc:Choice>
  </mc:AlternateContent>
  <xr:revisionPtr revIDLastSave="0" documentId="8_{80920E0F-1542-4422-B344-7EAD3B0CE4A6}" xr6:coauthVersionLast="47" xr6:coauthVersionMax="47" xr10:uidLastSave="{00000000-0000-0000-0000-000000000000}"/>
  <bookViews>
    <workbookView xWindow="-120" yWindow="-120" windowWidth="20730" windowHeight="11160" xr2:uid="{26B1F596-F2A0-407D-82AD-9550C9C37AE5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A6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A5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A4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A3" i="1"/>
</calcChain>
</file>

<file path=xl/sharedStrings.xml><?xml version="1.0" encoding="utf-8"?>
<sst xmlns="http://schemas.openxmlformats.org/spreadsheetml/2006/main" count="20" uniqueCount="18">
  <si>
    <t>u</t>
  </si>
  <si>
    <t>c</t>
  </si>
  <si>
    <t>t</t>
  </si>
  <si>
    <t>d</t>
  </si>
  <si>
    <t>s</t>
  </si>
  <si>
    <t>b</t>
  </si>
  <si>
    <t>e</t>
  </si>
  <si>
    <t>μ</t>
  </si>
  <si>
    <t>τ</t>
  </si>
  <si>
    <t>ντ</t>
  </si>
  <si>
    <t>νμ</t>
  </si>
  <si>
    <t>νe</t>
  </si>
  <si>
    <t>Z</t>
  </si>
  <si>
    <t>W</t>
  </si>
  <si>
    <t>γ</t>
  </si>
  <si>
    <t>g</t>
  </si>
  <si>
    <t>H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</si>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</sst>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9C887-D2BC-41A3-9B22-B18C6B7AED9D}">
  <dimension ref="A1:Q6"/>
  <sheetViews>
    <sheetView tabSelected="1" topLeftCell="N1" workbookViewId="0">
      <selection activeCell="R6" sqref="R6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11</v>
      </c>
      <c r="K1" t="s">
        <v>10</v>
      </c>
      <c r="L1" t="s">
        <v>9</v>
      </c>
      <c r="M1" t="s">
        <v>12</v>
      </c>
      <c r="N1" t="s">
        <v>13</v>
      </c>
      <c r="O1" s="1" t="s">
        <v>14</v>
      </c>
      <c r="P1" t="s">
        <v>15</v>
      </c>
      <c r="Q1" t="s">
        <v>16</v>
      </c>
    </row>
    <row r="2" spans="1:17" x14ac:dyDescent="0.25">
      <c r="A2" s="2">
        <v>2.2000000000000001E-3</v>
      </c>
      <c r="B2" s="2">
        <v>1.27</v>
      </c>
      <c r="C2" s="2">
        <v>170</v>
      </c>
      <c r="D2" s="2">
        <v>4.7000000000000002E-3</v>
      </c>
      <c r="E2" s="2">
        <v>9.2999999999999999E-2</v>
      </c>
      <c r="F2" s="2">
        <v>4.18</v>
      </c>
      <c r="G2" s="2">
        <v>5.1099895000000003E-4</v>
      </c>
      <c r="H2" s="2">
        <v>0.105658375</v>
      </c>
      <c r="I2" s="2">
        <v>1.7767999999999999</v>
      </c>
      <c r="J2" s="2" t="s">
        <v>17</v>
      </c>
      <c r="K2" s="2" t="s">
        <v>17</v>
      </c>
      <c r="L2" s="2" t="s">
        <v>17</v>
      </c>
      <c r="M2" s="2">
        <v>91.188000000000002</v>
      </c>
      <c r="N2" s="2">
        <v>80.37</v>
      </c>
      <c r="O2" s="2">
        <v>0</v>
      </c>
      <c r="P2" s="2">
        <v>0</v>
      </c>
      <c r="Q2" s="2">
        <v>125.3</v>
      </c>
    </row>
    <row r="3" spans="1:17" x14ac:dyDescent="0.25">
      <c r="A3" s="2">
        <f>SQRT(A2)</f>
        <v>4.6904157598234297E-2</v>
      </c>
      <c r="B3" s="2">
        <f t="shared" ref="B3:Q3" si="0">SQRT(B2)</f>
        <v>1.1269427669584644</v>
      </c>
      <c r="C3" s="2">
        <f t="shared" si="0"/>
        <v>13.038404810405298</v>
      </c>
      <c r="D3" s="2">
        <f t="shared" si="0"/>
        <v>6.8556546004010441E-2</v>
      </c>
      <c r="E3" s="2">
        <f t="shared" si="0"/>
        <v>0.30495901363953815</v>
      </c>
      <c r="F3" s="2">
        <f t="shared" si="0"/>
        <v>2.0445048300260873</v>
      </c>
      <c r="G3" s="2">
        <f t="shared" si="0"/>
        <v>2.2605285886270053E-2</v>
      </c>
      <c r="H3" s="2">
        <f t="shared" si="0"/>
        <v>0.3250513420984445</v>
      </c>
      <c r="I3" s="2">
        <f t="shared" si="0"/>
        <v>1.3329666162361307</v>
      </c>
      <c r="J3" s="2" t="e">
        <f t="shared" si="0"/>
        <v>#VALUE!</v>
      </c>
      <c r="K3" s="2" t="e">
        <f t="shared" si="0"/>
        <v>#VALUE!</v>
      </c>
      <c r="L3" s="2" t="e">
        <f t="shared" si="0"/>
        <v>#VALUE!</v>
      </c>
      <c r="M3" s="2">
        <f t="shared" si="0"/>
        <v>9.5492408075197268</v>
      </c>
      <c r="N3" s="2">
        <f t="shared" si="0"/>
        <v>8.9649316784903608</v>
      </c>
      <c r="O3" s="2">
        <f t="shared" si="0"/>
        <v>0</v>
      </c>
      <c r="P3" s="2">
        <f t="shared" si="0"/>
        <v>0</v>
      </c>
      <c r="Q3" s="2">
        <f t="shared" si="0"/>
        <v>11.193748255164577</v>
      </c>
    </row>
    <row r="4" spans="1:17" x14ac:dyDescent="0.25">
      <c r="A4" s="2">
        <f>A2^(1/3)</f>
        <v>0.13005914468513874</v>
      </c>
      <c r="B4" s="2">
        <f t="shared" ref="B4:Q4" si="1">B2^(1/3)</f>
        <v>1.0829321328319994</v>
      </c>
      <c r="C4" s="2">
        <f t="shared" si="1"/>
        <v>5.5396582567544641</v>
      </c>
      <c r="D4" s="2">
        <f t="shared" si="1"/>
        <v>0.16750686836022341</v>
      </c>
      <c r="E4" s="2">
        <f t="shared" si="1"/>
        <v>0.4530654896083493</v>
      </c>
      <c r="F4" s="2">
        <f t="shared" si="1"/>
        <v>1.6108635723093283</v>
      </c>
      <c r="G4" s="2">
        <f t="shared" si="1"/>
        <v>7.9947827962544293E-2</v>
      </c>
      <c r="H4" s="2">
        <f t="shared" si="1"/>
        <v>0.47275337977231269</v>
      </c>
      <c r="I4" s="2">
        <f t="shared" si="1"/>
        <v>1.2111915953084507</v>
      </c>
      <c r="J4" s="2" t="e">
        <f t="shared" si="1"/>
        <v>#VALUE!</v>
      </c>
      <c r="K4" s="2" t="e">
        <f t="shared" si="1"/>
        <v>#VALUE!</v>
      </c>
      <c r="L4" s="2" t="e">
        <f t="shared" si="1"/>
        <v>#VALUE!</v>
      </c>
      <c r="M4" s="2">
        <f t="shared" si="1"/>
        <v>4.5010367981408281</v>
      </c>
      <c r="N4" s="2">
        <f t="shared" si="1"/>
        <v>4.3155020055455156</v>
      </c>
      <c r="O4" s="2">
        <f t="shared" si="1"/>
        <v>0</v>
      </c>
      <c r="P4" s="2">
        <f t="shared" si="1"/>
        <v>0</v>
      </c>
      <c r="Q4" s="2">
        <f t="shared" si="1"/>
        <v>5.0039968042598506</v>
      </c>
    </row>
    <row r="5" spans="1:17" x14ac:dyDescent="0.25">
      <c r="A5" s="2">
        <f>A4/$C$4</f>
        <v>2.3477828172262898E-2</v>
      </c>
      <c r="B5" s="2">
        <f t="shared" ref="B5:Q5" si="2">B4/$C$4</f>
        <v>0.19548717315036326</v>
      </c>
      <c r="C5" s="2">
        <f t="shared" si="2"/>
        <v>1</v>
      </c>
      <c r="D5" s="2">
        <f t="shared" si="2"/>
        <v>3.0237762077829175E-2</v>
      </c>
      <c r="E5" s="2">
        <f t="shared" si="2"/>
        <v>8.178581937900771E-2</v>
      </c>
      <c r="F5" s="2">
        <f t="shared" si="2"/>
        <v>0.29078753555694781</v>
      </c>
      <c r="G5" s="2">
        <f t="shared" si="2"/>
        <v>1.4431906131585735E-2</v>
      </c>
      <c r="H5" s="2">
        <f t="shared" si="2"/>
        <v>8.5339809399954947E-2</v>
      </c>
      <c r="I5" s="2">
        <f t="shared" si="2"/>
        <v>0.21864012889814163</v>
      </c>
      <c r="J5" s="2" t="e">
        <f t="shared" si="2"/>
        <v>#VALUE!</v>
      </c>
      <c r="K5" s="2" t="e">
        <f t="shared" si="2"/>
        <v>#VALUE!</v>
      </c>
      <c r="L5" s="2" t="e">
        <f t="shared" si="2"/>
        <v>#VALUE!</v>
      </c>
      <c r="M5" s="2">
        <f t="shared" si="2"/>
        <v>0.81251163691419903</v>
      </c>
      <c r="N5" s="2">
        <f t="shared" si="2"/>
        <v>0.77901953613901287</v>
      </c>
      <c r="O5" s="2">
        <f t="shared" si="2"/>
        <v>0</v>
      </c>
      <c r="P5" s="2">
        <f t="shared" si="2"/>
        <v>0</v>
      </c>
      <c r="Q5" s="2">
        <f t="shared" si="2"/>
        <v>0.90330424230745909</v>
      </c>
    </row>
    <row r="6" spans="1:17" x14ac:dyDescent="0.25">
      <c r="A6">
        <f>A5*10.13</f>
        <v>0.23783039938502318</v>
      </c>
      <c r="B6">
        <f t="shared" ref="B6:Q6" si="3">B5*10.13</f>
        <v>1.9802850640131799</v>
      </c>
      <c r="C6">
        <f t="shared" si="3"/>
        <v>10.130000000000001</v>
      </c>
      <c r="D6">
        <f t="shared" si="3"/>
        <v>0.30630852984840956</v>
      </c>
      <c r="E6">
        <f t="shared" si="3"/>
        <v>0.82849035030934814</v>
      </c>
      <c r="F6">
        <f t="shared" si="3"/>
        <v>2.9456777351918815</v>
      </c>
      <c r="G6">
        <f t="shared" si="3"/>
        <v>0.14619520911296349</v>
      </c>
      <c r="H6">
        <f t="shared" si="3"/>
        <v>0.86449226922154365</v>
      </c>
      <c r="I6">
        <f t="shared" si="3"/>
        <v>2.214824505738175</v>
      </c>
      <c r="J6" t="e">
        <f t="shared" si="3"/>
        <v>#VALUE!</v>
      </c>
      <c r="K6" t="e">
        <f t="shared" si="3"/>
        <v>#VALUE!</v>
      </c>
      <c r="L6" t="e">
        <f t="shared" si="3"/>
        <v>#VALUE!</v>
      </c>
      <c r="M6">
        <f t="shared" si="3"/>
        <v>8.2307428819408361</v>
      </c>
      <c r="N6">
        <f t="shared" si="3"/>
        <v>7.891467901088201</v>
      </c>
      <c r="O6">
        <f t="shared" si="3"/>
        <v>0</v>
      </c>
      <c r="P6">
        <f t="shared" si="3"/>
        <v>0</v>
      </c>
      <c r="Q6">
        <f t="shared" si="3"/>
        <v>9.1504719745745611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Soares Trindade Nunes dos Santos</dc:creator>
  <cp:lastModifiedBy>José Soares Trindade Nunes dos Santos</cp:lastModifiedBy>
  <dcterms:created xsi:type="dcterms:W3CDTF">2023-10-24T17:07:12Z</dcterms:created>
  <dcterms:modified xsi:type="dcterms:W3CDTF">2023-10-30T15:47:44Z</dcterms:modified>
</cp:coreProperties>
</file>